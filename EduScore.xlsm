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lymo\Desktop\documents\"/>
    </mc:Choice>
  </mc:AlternateContent>
  <xr:revisionPtr revIDLastSave="0" documentId="8_{947E9541-CD56-4425-AC37-9F1C80710FFA}" xr6:coauthVersionLast="47" xr6:coauthVersionMax="47" xr10:uidLastSave="{00000000-0000-0000-0000-000000000000}"/>
  <bookViews>
    <workbookView xWindow="-108" yWindow="-108" windowWidth="23256" windowHeight="12456" tabRatio="925" activeTab="3" xr2:uid="{6AA46C1D-3959-45A6-8A1F-C28DA7F9B141}"/>
  </bookViews>
  <sheets>
    <sheet name="Coef" sheetId="7" r:id="rId1"/>
    <sheet name="Feuil2" sheetId="10" r:id="rId2"/>
    <sheet name="feuil1" sheetId="8" r:id="rId3"/>
    <sheet name="menu" sheetId="9" r:id="rId4"/>
  </sheets>
  <functionGroups builtInGroupCount="19"/>
  <definedNames>
    <definedName name="MoyenneCompetence1">feuil1!$AI$8</definedName>
    <definedName name="MoyenneCompetence2">feuil1!$AI$9</definedName>
    <definedName name="MoyenneCompetence3">feuil1!$AI$10</definedName>
  </definedNames>
  <calcPr calcId="191029"/>
  <pivotCaches>
    <pivotCache cacheId="3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8" l="1" a="1"/>
  <c r="J8" i="8" a="1"/>
  <c r="I8" i="8" a="1"/>
  <c r="K8" i="8" a="1"/>
  <c r="L8" i="8" a="1"/>
  <c r="G8" i="8" a="1"/>
  <c r="G8" i="8" l="1"/>
  <c r="L8" i="8"/>
  <c r="K8" i="8"/>
  <c r="I8" i="8"/>
  <c r="AI8" i="8" s="1"/>
  <c r="J8" i="8"/>
  <c r="AI9" i="8" s="1"/>
  <c r="H8" i="8"/>
  <c r="K13" i="8" a="1"/>
  <c r="K13" i="8" l="1"/>
  <c r="AI10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<sst xmlns="http://schemas.openxmlformats.org/spreadsheetml/2006/main" count="76" uniqueCount="61">
  <si>
    <t>Semestre 1</t>
  </si>
  <si>
    <t>t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</si>
  <si>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</si>
  <si>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</si>
  <si>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</si>
  <si>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</si>
  <si>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</si>
  <si>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</si>
  <si>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</si>
  <si>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</si>
  <si>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</si>
  <si>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</si>
  <si>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</si>
  <si>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</si>
  <si>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</si>
  <si>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</si>
  <si>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</si>
  <si>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</si>
  <si>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</si>
  <si>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</si>
  <si>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</si>
  <si>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Compétence 1 :
Traiter des données à des fins décisionnelles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</si>
  <si>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</si>
  <si>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</si>
  <si>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</si>
  <si>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</si>
  <si>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</si>
  <si>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</si>
  <si>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</si>
  <si>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</si>
  <si>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</si>
  <si>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</si>
  <si>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</si>
  <si>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</si>
  <si>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</si>
  <si>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</si>
  <si>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</si>
  <si>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</si>
  <si>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</si>
  <si>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</si>
  <si>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</si>
  <si>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Semestre</t>
  </si>
  <si>
    <t>Compétences</t>
  </si>
  <si>
    <t>Matières</t>
  </si>
  <si>
    <t>Notes</t>
  </si>
  <si>
    <t>Coeff</t>
  </si>
  <si>
    <t>Moyenne semestre 1</t>
  </si>
  <si>
    <t>Moyenne semestre 2</t>
  </si>
  <si>
    <t>Moyenne compétence 1</t>
  </si>
  <si>
    <t>Moyenne compétence 2</t>
  </si>
  <si>
    <t>Moyenne compétence 3</t>
  </si>
  <si>
    <t>Moyenne Globale</t>
  </si>
  <si>
    <t>Compétence</t>
  </si>
  <si>
    <t>Moyenne</t>
  </si>
  <si>
    <t>Compétence 1</t>
  </si>
  <si>
    <t>Compétence 2</t>
  </si>
  <si>
    <t>Compétence 3</t>
  </si>
  <si>
    <t>Décision du jury</t>
  </si>
  <si>
    <t>Étiquettes de lignes</t>
  </si>
  <si>
    <t>Total général</t>
  </si>
  <si>
    <t>Somme de Moyenne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</si>
</sst>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1" fillId="2" borderId="1" xfId="0" applyFont="1" applyFill="1" applyBorder="1" applyAlignment="1">
      <alignment vertical="center" wrapText="1"/>
    </xf>
    <xf numFmtId="0" fontId="1" fillId="5" borderId="3" xfId="0" applyFont="1" applyFill="1" applyBorder="1" applyAlignment="1">
      <alignment vertical="center" wrapText="1"/>
    </xf>
    <xf numFmtId="0" fontId="1" fillId="4" borderId="3" xfId="0" applyFont="1" applyFill="1" applyBorder="1" applyAlignment="1">
      <alignment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vertical="center"/>
    </xf>
    <xf numFmtId="0" fontId="1" fillId="6" borderId="4" xfId="0" applyFont="1" applyFill="1" applyBorder="1" applyAlignment="1">
      <alignment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vertical="center" wrapText="1"/>
    </xf>
    <xf numFmtId="0" fontId="1" fillId="6" borderId="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2" xfId="0" applyBorder="1"/>
    <xf numFmtId="0" fontId="6" fillId="8" borderId="1" xfId="0" applyFont="1" applyFill="1" applyBorder="1"/>
    <xf numFmtId="0" fontId="7" fillId="0" borderId="1" xfId="0" applyFont="1" applyBorder="1"/>
    <xf numFmtId="0" fontId="0" fillId="9" borderId="1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2" fillId="7" borderId="8" xfId="0" applyFont="1" applyFill="1" applyBorder="1" applyAlignment="1">
      <alignment horizontal="left" vertical="center" wrapText="1"/>
    </xf>
    <xf numFmtId="0" fontId="2" fillId="7" borderId="10" xfId="0" applyFont="1" applyFill="1" applyBorder="1" applyAlignment="1">
      <alignment horizontal="left" vertical="center" wrapText="1"/>
    </xf>
    <xf numFmtId="0" fontId="2" fillId="7" borderId="9" xfId="0" applyFont="1" applyFill="1" applyBorder="1" applyAlignment="1">
      <alignment horizontal="left" vertical="center" wrapText="1"/>
    </xf>
    <xf numFmtId="0" fontId="2" fillId="5" borderId="8" xfId="0" applyFont="1" applyFill="1" applyBorder="1" applyAlignment="1">
      <alignment horizontal="left" vertical="center" wrapText="1"/>
    </xf>
    <xf numFmtId="0" fontId="2" fillId="5" borderId="10" xfId="0" applyFont="1" applyFill="1" applyBorder="1" applyAlignment="1">
      <alignment horizontal="left" vertical="center" wrapText="1"/>
    </xf>
    <xf numFmtId="0" fontId="2" fillId="5" borderId="9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/>
    </xf>
    <xf numFmtId="0" fontId="2" fillId="6" borderId="11" xfId="0" applyFont="1" applyFill="1" applyBorder="1" applyAlignment="1">
      <alignment horizontal="left" vertical="center" wrapText="1"/>
    </xf>
    <xf numFmtId="0" fontId="2" fillId="6" borderId="10" xfId="0" applyFont="1" applyFill="1" applyBorder="1" applyAlignment="1">
      <alignment horizontal="left" vertical="center" wrapText="1"/>
    </xf>
    <xf numFmtId="0" fontId="2" fillId="6" borderId="9" xfId="0" applyFont="1" applyFill="1" applyBorder="1" applyAlignment="1">
      <alignment horizontal="left" vertical="center" wrapText="1"/>
    </xf>
    <xf numFmtId="0" fontId="2" fillId="4" borderId="8" xfId="0" applyFont="1" applyFill="1" applyBorder="1" applyAlignment="1">
      <alignment horizontal="left" vertical="center" wrapText="1"/>
    </xf>
    <xf numFmtId="0" fontId="2" fillId="4" borderId="10" xfId="0" applyFont="1" applyFill="1" applyBorder="1" applyAlignment="1">
      <alignment horizontal="left" vertical="center" wrapText="1"/>
    </xf>
    <xf numFmtId="0" fontId="2" fillId="4" borderId="9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center"/>
    </xf>
    <xf numFmtId="0" fontId="2" fillId="6" borderId="8" xfId="0" applyFont="1" applyFill="1" applyBorder="1" applyAlignment="1">
      <alignment horizontal="left" vertical="center" wrapText="1"/>
    </xf>
    <xf numFmtId="0" fontId="2" fillId="5" borderId="6" xfId="0" applyFont="1" applyFill="1" applyBorder="1" applyAlignment="1">
      <alignment horizontal="left" vertical="center" wrapText="1"/>
    </xf>
    <xf numFmtId="0" fontId="2" fillId="5" borderId="7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0" xfId="0" applyNumberFormat="1"/>
  </cellXfs>
  <cellStyles count="1">
    <cellStyle name="Normal" xfId="0" builtinId="0"/>
  </cellStyles>
  <dxfs count="2">
    <dxf>
      <font>
        <color rgb="FF8B0000"/>
      </font>
      <fill>
        <patternFill>
          <bgColor rgb="FFFFB6C1"/>
        </patternFill>
      </fill>
    </dxf>
    <dxf>
      <font>
        <color rgb="FF006400"/>
      </font>
      <fill>
        <patternFill>
          <bgColor rgb="FF90EE90"/>
        </patternFill>
      </fill>
    </dxf>
  </dxfs>
  <tableStyles count="0" defaultTableStyle="TableStyleMedium2" defaultPivotStyle="PivotStyleLight16"/>
  <colors>
    <mruColors>
      <color rgb="FFCCCC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[EduScore.xlsm]Feuil2!Tableau croisé dynamique3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Feuil2!$B$1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Feuil2!$A$2:$A$5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Feuil2!$B$2:$B$5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33-4A51-B498-BC62D7210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6432559"/>
        <c:axId val="886427279"/>
      </c:barChart>
      <c:catAx>
        <c:axId val="88643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6427279"/>
        <c:crosses val="autoZero"/>
        <c:auto val="1"/>
        <c:lblAlgn val="ctr"/>
        <c:lblOffset val="100"/>
        <c:noMultiLvlLbl val="0"/>
      </c:catAx>
      <c:valAx>
        <c:axId val="88642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643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[EduScore.xlsm]Feuil2!Tableau croisé dynamique3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</a:t>
            </a:r>
            <a:r>
              <a:rPr lang="en-US" baseline="0"/>
              <a:t> des moyennes selon la compétence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Feuil2!$B$1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Feuil2!$A$2:$A$5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Feuil2!$B$2:$B$5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2F-4EB3-9CF2-9E9BCCD0D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6432559"/>
        <c:axId val="886427279"/>
      </c:barChart>
      <c:catAx>
        <c:axId val="88643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6427279"/>
        <c:crosses val="autoZero"/>
        <c:auto val="1"/>
        <c:lblAlgn val="ctr"/>
        <c:lblOffset val="100"/>
        <c:noMultiLvlLbl val="0"/>
      </c:catAx>
      <c:valAx>
        <c:axId val="88642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643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9</xdr:col>
      <xdr:colOff>609600</xdr:colOff>
      <xdr:row>16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E3B8933-07DC-73A7-AFCD-EC386CB46D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133350</xdr:rowOff>
    </xdr:from>
    <xdr:to>
      <xdr:col>12</xdr:col>
      <xdr:colOff>9525</xdr:colOff>
      <xdr:row>4</xdr:row>
      <xdr:rowOff>9525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848350" y="133350"/>
          <a:ext cx="8877300" cy="638175"/>
        </a:xfrm>
        <a:prstGeom prst="rect">
          <a:avLst/>
        </a:prstGeom>
        <a:solidFill>
          <a:schemeClr val="bg2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800">
              <a:latin typeface="Arial Black" panose="020B0A04020102020204" pitchFamily="34" charset="0"/>
            </a:rPr>
            <a:t>Tableau</a:t>
          </a:r>
          <a:r>
            <a:rPr lang="fr-FR" sz="2800" baseline="0">
              <a:latin typeface="Arial Black" panose="020B0A04020102020204" pitchFamily="34" charset="0"/>
            </a:rPr>
            <a:t> de bord</a:t>
          </a:r>
          <a:endParaRPr lang="fr-FR" sz="2800">
            <a:latin typeface="Arial Black" panose="020B0A04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182880</xdr:rowOff>
        </xdr:from>
        <xdr:to>
          <xdr:col>8</xdr:col>
          <xdr:colOff>0</xdr:colOff>
          <xdr:row>12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Ajoutez ou supprimez une note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753139</xdr:colOff>
      <xdr:row>21</xdr:row>
      <xdr:rowOff>0</xdr:rowOff>
    </xdr:from>
    <xdr:to>
      <xdr:col>9</xdr:col>
      <xdr:colOff>33227</xdr:colOff>
      <xdr:row>35</xdr:row>
      <xdr:rowOff>99681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F59B5DF-2E50-4CC9-8851-8681E4B45B10}"/>
            </a:ext>
          </a:extLst>
        </xdr:cNvPr>
        <xdr:cNvSpPr/>
      </xdr:nvSpPr>
      <xdr:spPr>
        <a:xfrm>
          <a:off x="5836831" y="3965058"/>
          <a:ext cx="4729274" cy="2735670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770860</xdr:colOff>
      <xdr:row>21</xdr:row>
      <xdr:rowOff>17723</xdr:rowOff>
    </xdr:from>
    <xdr:to>
      <xdr:col>9</xdr:col>
      <xdr:colOff>26581</xdr:colOff>
      <xdr:row>35</xdr:row>
      <xdr:rowOff>62025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63CDFC4-E416-429E-94A5-9705DFDCCA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7619</xdr:colOff>
          <xdr:row>17</xdr:row>
          <xdr:rowOff>175968</xdr:rowOff>
        </xdr:from>
        <xdr:to>
          <xdr:col>7</xdr:col>
          <xdr:colOff>1541720</xdr:colOff>
          <xdr:row>19</xdr:row>
          <xdr:rowOff>168349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Acutaliser le graphique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466725</xdr:colOff>
      <xdr:row>66</xdr:row>
      <xdr:rowOff>123824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0"/>
          <a:ext cx="20278725" cy="12696824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9524</xdr:colOff>
      <xdr:row>6</xdr:row>
      <xdr:rowOff>19050</xdr:rowOff>
    </xdr:from>
    <xdr:to>
      <xdr:col>14</xdr:col>
      <xdr:colOff>447675</xdr:colOff>
      <xdr:row>28</xdr:row>
      <xdr:rowOff>76201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105524" y="1162050"/>
          <a:ext cx="5010151" cy="4248151"/>
        </a:xfrm>
        <a:prstGeom prst="rect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18</xdr:row>
          <xdr:rowOff>99060</xdr:rowOff>
        </xdr:from>
        <xdr:to>
          <xdr:col>12</xdr:col>
          <xdr:colOff>632460</xdr:colOff>
          <xdr:row>23</xdr:row>
          <xdr:rowOff>0</xdr:rowOff>
        </xdr:to>
        <xdr:sp macro="" textlink="">
          <xdr:nvSpPr>
            <xdr:cNvPr id="2051" name="insere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495300</xdr:colOff>
      <xdr:row>10</xdr:row>
      <xdr:rowOff>123825</xdr:rowOff>
    </xdr:from>
    <xdr:to>
      <xdr:col>14</xdr:col>
      <xdr:colOff>247650</xdr:colOff>
      <xdr:row>16</xdr:row>
      <xdr:rowOff>114300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6591300" y="2028825"/>
          <a:ext cx="4324350" cy="1133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6000">
              <a:latin typeface="Arial Black" panose="020B0A04020102020204" pitchFamily="34" charset="0"/>
            </a:rPr>
            <a:t>EduScore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y Mouthon" refreshedDate="45662.742790856479" createdVersion="8" refreshedVersion="8" minRefreshableVersion="3" recordCount="3" xr:uid="{22D59507-7C8F-46CF-B614-1D4B57432CAB}">
  <cacheSource type="worksheet">
    <worksheetSource ref="AH7:AI10" sheet="feuil1"/>
  </cacheSource>
  <cacheFields count="2">
    <cacheField name="Compétence" numFmtId="0">
      <sharedItems count="3">
        <s v="Compétence 1"/>
        <s v="Compétence 2"/>
        <s v="Compétence 3"/>
      </sharedItems>
    </cacheField>
    <cacheField name="Moyenne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n v="0"/>
  </r>
  <r>
    <x v="1"/>
    <n v="0"/>
  </r>
  <r>
    <x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3DFD42-9713-4660-9971-FF14DE52FA56}" name="Tableau croisé dynamique3" cacheId="3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1:B5" firstHeaderRow="1" firstDataRow="1" firstDataCol="1"/>
  <pivotFields count="2"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Moyenne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1">
    <pageSetUpPr fitToPage="1"/>
  </sheetPr>
  <dimension ref="A2:C53"/>
  <sheetViews>
    <sheetView zoomScaleNormal="100" workbookViewId="0">
      <selection activeCell="A10" sqref="A10:A14"/>
    </sheetView>
  </sheetViews>
  <sheetFormatPr baseColWidth="10" defaultColWidth="47.44140625" defaultRowHeight="14.4" x14ac:dyDescent="0.3"/>
  <cols>
    <col min="1" max="1" width="41.44140625" style="1" bestFit="1" customWidth="1"/>
    <col min="2" max="2" width="64.44140625" bestFit="1" customWidth="1"/>
    <col min="3" max="3" width="8.44140625" style="2" customWidth="1"/>
    <col min="4" max="4" width="42.44140625" bestFit="1" customWidth="1"/>
    <col min="5" max="5" width="4.44140625" bestFit="1" customWidth="1"/>
  </cols>
  <sheetData>
    <row r="2" spans="1:3" ht="18" x14ac:dyDescent="0.35">
      <c r="A2" s="34" t="s">
        <v>0</v>
      </c>
      <c r="B2" s="34"/>
      <c r="C2" s="34"/>
    </row>
    <row r="3" spans="1:3" ht="15" customHeight="1" x14ac:dyDescent="0.3">
      <c r="A3" s="35" t="s">
        <v>1</v>
      </c>
      <c r="B3" s="14" t="s">
        <v>2</v>
      </c>
      <c r="C3" s="16">
        <v>15</v>
      </c>
    </row>
    <row r="4" spans="1:3" x14ac:dyDescent="0.3">
      <c r="A4" s="36"/>
      <c r="B4" s="14" t="s">
        <v>3</v>
      </c>
      <c r="C4" s="16">
        <v>20</v>
      </c>
    </row>
    <row r="5" spans="1:3" x14ac:dyDescent="0.3">
      <c r="A5" s="36"/>
      <c r="B5" s="14" t="s">
        <v>4</v>
      </c>
      <c r="C5" s="16">
        <v>20</v>
      </c>
    </row>
    <row r="6" spans="1:3" x14ac:dyDescent="0.3">
      <c r="A6" s="36"/>
      <c r="B6" s="4" t="s">
        <v>5</v>
      </c>
      <c r="C6" s="16">
        <v>5</v>
      </c>
    </row>
    <row r="7" spans="1:3" x14ac:dyDescent="0.3">
      <c r="A7" s="36"/>
      <c r="B7" s="14" t="s">
        <v>6</v>
      </c>
      <c r="C7" s="16">
        <v>30</v>
      </c>
    </row>
    <row r="8" spans="1:3" x14ac:dyDescent="0.3">
      <c r="A8" s="37"/>
      <c r="B8" s="14" t="s">
        <v>7</v>
      </c>
      <c r="C8" s="16">
        <v>10</v>
      </c>
    </row>
    <row r="9" spans="1:3" x14ac:dyDescent="0.3">
      <c r="A9" s="8"/>
      <c r="B9" s="5"/>
      <c r="C9" s="6"/>
    </row>
    <row r="10" spans="1:3" ht="15" customHeight="1" x14ac:dyDescent="0.3">
      <c r="A10" s="38" t="s">
        <v>8</v>
      </c>
      <c r="B10" s="11" t="s">
        <v>9</v>
      </c>
      <c r="C10" s="12">
        <v>20</v>
      </c>
    </row>
    <row r="11" spans="1:3" ht="15" customHeight="1" x14ac:dyDescent="0.3">
      <c r="A11" s="39"/>
      <c r="B11" s="11" t="s">
        <v>10</v>
      </c>
      <c r="C11" s="12">
        <v>15</v>
      </c>
    </row>
    <row r="12" spans="1:3" x14ac:dyDescent="0.3">
      <c r="A12" s="39"/>
      <c r="B12" s="11" t="s">
        <v>11</v>
      </c>
      <c r="C12" s="12">
        <v>20</v>
      </c>
    </row>
    <row r="13" spans="1:3" x14ac:dyDescent="0.3">
      <c r="A13" s="39"/>
      <c r="B13" s="4" t="s">
        <v>5</v>
      </c>
      <c r="C13" s="12">
        <v>5</v>
      </c>
    </row>
    <row r="14" spans="1:3" ht="28.8" x14ac:dyDescent="0.3">
      <c r="A14" s="40"/>
      <c r="B14" s="11" t="s">
        <v>12</v>
      </c>
      <c r="C14" s="12">
        <v>40</v>
      </c>
    </row>
    <row r="15" spans="1:3" x14ac:dyDescent="0.3">
      <c r="A15" s="8"/>
      <c r="B15" s="3"/>
      <c r="C15" s="6"/>
    </row>
    <row r="16" spans="1:3" ht="15" customHeight="1" x14ac:dyDescent="0.3">
      <c r="A16" s="43" t="s">
        <v>13</v>
      </c>
      <c r="B16" s="10" t="s">
        <v>14</v>
      </c>
      <c r="C16" s="13">
        <v>15</v>
      </c>
    </row>
    <row r="17" spans="1:3" x14ac:dyDescent="0.3">
      <c r="A17" s="44"/>
      <c r="B17" s="10" t="s">
        <v>15</v>
      </c>
      <c r="C17" s="13">
        <v>15</v>
      </c>
    </row>
    <row r="18" spans="1:3" x14ac:dyDescent="0.3">
      <c r="A18" s="44"/>
      <c r="B18" s="10" t="s">
        <v>16</v>
      </c>
      <c r="C18" s="13">
        <v>25</v>
      </c>
    </row>
    <row r="19" spans="1:3" x14ac:dyDescent="0.3">
      <c r="A19" s="44"/>
      <c r="B19" s="4" t="s">
        <v>5</v>
      </c>
      <c r="C19" s="13">
        <v>5</v>
      </c>
    </row>
    <row r="20" spans="1:3" x14ac:dyDescent="0.3">
      <c r="A20" s="44"/>
      <c r="B20" s="10" t="s">
        <v>17</v>
      </c>
      <c r="C20" s="13">
        <v>15</v>
      </c>
    </row>
    <row r="21" spans="1:3" x14ac:dyDescent="0.3">
      <c r="A21" s="44"/>
      <c r="B21" s="10" t="s">
        <v>18</v>
      </c>
      <c r="C21" s="13">
        <v>10</v>
      </c>
    </row>
    <row r="22" spans="1:3" x14ac:dyDescent="0.3">
      <c r="A22" s="45"/>
      <c r="B22" s="10" t="s">
        <v>19</v>
      </c>
      <c r="C22" s="13">
        <v>15</v>
      </c>
    </row>
    <row r="24" spans="1:3" ht="18" x14ac:dyDescent="0.35">
      <c r="A24" s="41" t="s">
        <v>20</v>
      </c>
      <c r="B24" s="34"/>
      <c r="C24" s="34"/>
    </row>
    <row r="25" spans="1:3" ht="15" customHeight="1" x14ac:dyDescent="0.3">
      <c r="A25" s="42" t="s">
        <v>21</v>
      </c>
      <c r="B25" s="15" t="s">
        <v>22</v>
      </c>
      <c r="C25" s="18">
        <v>10</v>
      </c>
    </row>
    <row r="26" spans="1:3" x14ac:dyDescent="0.3">
      <c r="A26" s="36"/>
      <c r="B26" s="15" t="s">
        <v>23</v>
      </c>
      <c r="C26" s="18">
        <v>15</v>
      </c>
    </row>
    <row r="27" spans="1:3" x14ac:dyDescent="0.3">
      <c r="A27" s="36"/>
      <c r="B27" s="15" t="s">
        <v>24</v>
      </c>
      <c r="C27" s="18">
        <v>15</v>
      </c>
    </row>
    <row r="28" spans="1:3" x14ac:dyDescent="0.3">
      <c r="A28" s="36"/>
      <c r="B28" s="15" t="s">
        <v>25</v>
      </c>
      <c r="C28" s="18">
        <v>15</v>
      </c>
    </row>
    <row r="29" spans="1:3" x14ac:dyDescent="0.3">
      <c r="A29" s="36"/>
      <c r="B29" s="4" t="s">
        <v>26</v>
      </c>
      <c r="C29" s="18">
        <v>5</v>
      </c>
    </row>
    <row r="30" spans="1:3" ht="15.9" customHeight="1" x14ac:dyDescent="0.3">
      <c r="A30" s="36"/>
      <c r="B30" s="15" t="s">
        <v>27</v>
      </c>
      <c r="C30" s="18">
        <v>10</v>
      </c>
    </row>
    <row r="31" spans="1:3" ht="15.9" customHeight="1" x14ac:dyDescent="0.3">
      <c r="A31" s="36"/>
      <c r="B31" s="9" t="s">
        <v>28</v>
      </c>
      <c r="C31" s="18">
        <v>5</v>
      </c>
    </row>
    <row r="32" spans="1:3" x14ac:dyDescent="0.3">
      <c r="A32" s="36"/>
      <c r="B32" s="9" t="s">
        <v>29</v>
      </c>
      <c r="C32" s="18">
        <v>20</v>
      </c>
    </row>
    <row r="33" spans="1:3" x14ac:dyDescent="0.3">
      <c r="A33" s="37"/>
      <c r="B33" s="4" t="s">
        <v>30</v>
      </c>
      <c r="C33" s="18">
        <v>5</v>
      </c>
    </row>
    <row r="34" spans="1:3" x14ac:dyDescent="0.3">
      <c r="A34" s="8"/>
      <c r="B34" s="3"/>
      <c r="C34" s="7"/>
    </row>
    <row r="35" spans="1:3" ht="15" customHeight="1" x14ac:dyDescent="0.3">
      <c r="A35" s="28" t="s">
        <v>8</v>
      </c>
      <c r="B35" s="19" t="s">
        <v>31</v>
      </c>
      <c r="C35" s="20">
        <v>10</v>
      </c>
    </row>
    <row r="36" spans="1:3" x14ac:dyDescent="0.3">
      <c r="A36" s="29"/>
      <c r="B36" s="19" t="s">
        <v>32</v>
      </c>
      <c r="C36" s="20">
        <v>15</v>
      </c>
    </row>
    <row r="37" spans="1:3" x14ac:dyDescent="0.3">
      <c r="A37" s="29"/>
      <c r="B37" s="19" t="s">
        <v>33</v>
      </c>
      <c r="C37" s="20">
        <v>15</v>
      </c>
    </row>
    <row r="38" spans="1:3" x14ac:dyDescent="0.3">
      <c r="A38" s="29"/>
      <c r="B38" s="19" t="s">
        <v>34</v>
      </c>
      <c r="C38" s="20">
        <v>15</v>
      </c>
    </row>
    <row r="39" spans="1:3" x14ac:dyDescent="0.3">
      <c r="A39" s="29"/>
      <c r="B39" s="4" t="s">
        <v>26</v>
      </c>
      <c r="C39" s="20">
        <v>5</v>
      </c>
    </row>
    <row r="40" spans="1:3" x14ac:dyDescent="0.3">
      <c r="A40" s="29"/>
      <c r="B40" s="19" t="s">
        <v>35</v>
      </c>
      <c r="C40" s="20">
        <v>10</v>
      </c>
    </row>
    <row r="41" spans="1:3" x14ac:dyDescent="0.3">
      <c r="A41" s="29"/>
      <c r="B41" s="19" t="s">
        <v>36</v>
      </c>
      <c r="C41" s="20">
        <v>10</v>
      </c>
    </row>
    <row r="42" spans="1:3" x14ac:dyDescent="0.3">
      <c r="A42" s="29"/>
      <c r="B42" s="9" t="s">
        <v>28</v>
      </c>
      <c r="C42" s="20">
        <v>5</v>
      </c>
    </row>
    <row r="43" spans="1:3" x14ac:dyDescent="0.3">
      <c r="A43" s="29"/>
      <c r="B43" s="9" t="s">
        <v>29</v>
      </c>
      <c r="C43" s="20">
        <v>10</v>
      </c>
    </row>
    <row r="44" spans="1:3" x14ac:dyDescent="0.3">
      <c r="A44" s="30"/>
      <c r="B44" s="4" t="s">
        <v>30</v>
      </c>
      <c r="C44" s="20">
        <v>5</v>
      </c>
    </row>
    <row r="45" spans="1:3" x14ac:dyDescent="0.3">
      <c r="A45" s="8"/>
      <c r="B45" s="3"/>
      <c r="C45" s="7"/>
    </row>
    <row r="46" spans="1:3" ht="15" customHeight="1" x14ac:dyDescent="0.3">
      <c r="A46" s="31" t="s">
        <v>13</v>
      </c>
      <c r="B46" s="10" t="s">
        <v>37</v>
      </c>
      <c r="C46" s="13">
        <v>15</v>
      </c>
    </row>
    <row r="47" spans="1:3" x14ac:dyDescent="0.3">
      <c r="A47" s="32"/>
      <c r="B47" s="10" t="s">
        <v>38</v>
      </c>
      <c r="C47" s="13">
        <v>15</v>
      </c>
    </row>
    <row r="48" spans="1:3" x14ac:dyDescent="0.3">
      <c r="A48" s="32"/>
      <c r="B48" s="10" t="s">
        <v>39</v>
      </c>
      <c r="C48" s="13">
        <v>25</v>
      </c>
    </row>
    <row r="49" spans="1:3" x14ac:dyDescent="0.3">
      <c r="A49" s="32"/>
      <c r="B49" s="4" t="s">
        <v>26</v>
      </c>
      <c r="C49" s="13">
        <v>5</v>
      </c>
    </row>
    <row r="50" spans="1:3" x14ac:dyDescent="0.3">
      <c r="A50" s="32"/>
      <c r="B50" s="17" t="s">
        <v>28</v>
      </c>
      <c r="C50" s="13">
        <v>5</v>
      </c>
    </row>
    <row r="51" spans="1:3" x14ac:dyDescent="0.3">
      <c r="A51" s="32"/>
      <c r="B51" s="10" t="s">
        <v>40</v>
      </c>
      <c r="C51" s="13">
        <v>10</v>
      </c>
    </row>
    <row r="52" spans="1:3" x14ac:dyDescent="0.3">
      <c r="A52" s="32"/>
      <c r="B52" s="9" t="s">
        <v>29</v>
      </c>
      <c r="C52" s="13">
        <v>20</v>
      </c>
    </row>
    <row r="53" spans="1:3" x14ac:dyDescent="0.3">
      <c r="A53" s="33"/>
      <c r="B53" s="4" t="s">
        <v>30</v>
      </c>
      <c r="C53" s="13">
        <v>5</v>
      </c>
    </row>
  </sheetData>
  <mergeCells count="8">
    <mergeCell ref="A35:A44"/>
    <mergeCell ref="A46:A53"/>
    <mergeCell ref="A2:C2"/>
    <mergeCell ref="A3:A8"/>
    <mergeCell ref="A10:A14"/>
    <mergeCell ref="A24:C24"/>
    <mergeCell ref="A25:A33"/>
    <mergeCell ref="A16:A22"/>
  </mergeCells>
  <pageMargins left="0.7" right="0.7" top="0.75" bottom="0.75" header="0.3" footer="0.3"/>
  <pageSetup paperSize="9" scale="8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667A4-0D60-4D80-9C07-8C5E33D447C1}">
  <sheetPr codeName="Feuil4"/>
  <dimension ref="A1:B5"/>
  <sheetViews>
    <sheetView workbookViewId="0">
      <selection activeCell="D26" sqref="D26"/>
    </sheetView>
  </sheetViews>
  <sheetFormatPr baseColWidth="10" defaultRowHeight="14.4" x14ac:dyDescent="0.3"/>
  <cols>
    <col min="1" max="1" width="19.5546875" bestFit="1" customWidth="1"/>
    <col min="2" max="2" width="18.6640625" bestFit="1" customWidth="1"/>
  </cols>
  <sheetData>
    <row r="1" spans="1:2" x14ac:dyDescent="0.3">
      <c r="A1" s="26" t="s">
        <v>58</v>
      </c>
      <c r="B1" t="s">
        <v>60</v>
      </c>
    </row>
    <row r="2" spans="1:2" x14ac:dyDescent="0.3">
      <c r="A2" s="27" t="s">
        <v>54</v>
      </c>
      <c r="B2" s="46">
        <v>0</v>
      </c>
    </row>
    <row r="3" spans="1:2" x14ac:dyDescent="0.3">
      <c r="A3" s="27" t="s">
        <v>55</v>
      </c>
      <c r="B3" s="46">
        <v>0</v>
      </c>
    </row>
    <row r="4" spans="1:2" x14ac:dyDescent="0.3">
      <c r="A4" s="27" t="s">
        <v>56</v>
      </c>
      <c r="B4" s="46">
        <v>0</v>
      </c>
    </row>
    <row r="5" spans="1:2" x14ac:dyDescent="0.3">
      <c r="A5" s="27" t="s">
        <v>59</v>
      </c>
      <c r="B5" s="46">
        <v>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2C6EA-C915-4849-845A-BB65EFE8F9C9}">
  <sheetPr codeName="Feuil2"/>
  <dimension ref="A1:AI202"/>
  <sheetViews>
    <sheetView zoomScale="86" zoomScaleNormal="86" workbookViewId="0">
      <selection activeCell="I14" sqref="I14"/>
    </sheetView>
  </sheetViews>
  <sheetFormatPr baseColWidth="10" defaultColWidth="11.44140625" defaultRowHeight="14.4" x14ac:dyDescent="0.3"/>
  <cols>
    <col min="1" max="1" width="10.88671875" bestFit="1" customWidth="1"/>
    <col min="2" max="2" width="18" customWidth="1"/>
    <col min="3" max="3" width="24.5546875" customWidth="1"/>
    <col min="7" max="7" width="24.88671875" customWidth="1"/>
    <col min="8" max="8" width="22.44140625" customWidth="1"/>
    <col min="9" max="11" width="22.88671875" bestFit="1" customWidth="1"/>
    <col min="12" max="12" width="17.109375" bestFit="1" customWidth="1"/>
    <col min="19" max="19" width="13.6640625" bestFit="1" customWidth="1"/>
  </cols>
  <sheetData>
    <row r="1" spans="1:35" x14ac:dyDescent="0.3">
      <c r="A1" s="23" t="s">
        <v>41</v>
      </c>
      <c r="B1" s="23" t="s">
        <v>42</v>
      </c>
      <c r="C1" s="23" t="s">
        <v>43</v>
      </c>
      <c r="D1" s="23" t="s">
        <v>44</v>
      </c>
      <c r="E1" s="23" t="s">
        <v>45</v>
      </c>
    </row>
    <row r="2" spans="1:35" x14ac:dyDescent="0.3">
      <c r="A2" s="21"/>
      <c r="B2" s="21"/>
      <c r="C2" s="21"/>
      <c r="D2" s="21"/>
      <c r="E2" s="21"/>
      <c r="F2" s="22"/>
    </row>
    <row r="3" spans="1:35" x14ac:dyDescent="0.3">
      <c r="A3" s="21"/>
      <c r="B3" s="21"/>
      <c r="C3" s="21"/>
      <c r="D3" s="21"/>
      <c r="E3" s="21"/>
    </row>
    <row r="4" spans="1:35" x14ac:dyDescent="0.3">
      <c r="A4" s="21"/>
      <c r="B4" s="21"/>
      <c r="C4" s="21"/>
      <c r="D4" s="21"/>
      <c r="E4" s="21"/>
    </row>
    <row r="5" spans="1:35" x14ac:dyDescent="0.3">
      <c r="A5" s="21"/>
      <c r="B5" s="21"/>
      <c r="C5" s="21"/>
      <c r="D5" s="21"/>
      <c r="E5" s="21"/>
    </row>
    <row r="6" spans="1:35" x14ac:dyDescent="0.3">
      <c r="A6" s="21"/>
      <c r="B6" s="21"/>
      <c r="C6" s="21"/>
      <c r="D6" s="21"/>
      <c r="E6" s="21"/>
    </row>
    <row r="7" spans="1:35" x14ac:dyDescent="0.3">
      <c r="A7" s="21"/>
      <c r="B7" s="21"/>
      <c r="C7" s="21"/>
      <c r="D7" s="21"/>
      <c r="E7" s="21"/>
      <c r="G7" s="23" t="s">
        <v>46</v>
      </c>
      <c r="H7" s="23" t="s">
        <v>47</v>
      </c>
      <c r="I7" s="23" t="s">
        <v>48</v>
      </c>
      <c r="J7" s="23" t="s">
        <v>49</v>
      </c>
      <c r="K7" s="23" t="s">
        <v>50</v>
      </c>
      <c r="L7" s="23" t="s">
        <v>51</v>
      </c>
      <c r="AH7" t="s">
        <v>52</v>
      </c>
      <c r="AI7" t="s">
        <v>53</v>
      </c>
    </row>
    <row r="8" spans="1:35" x14ac:dyDescent="0.3">
      <c r="A8" s="21"/>
      <c r="B8" s="21"/>
      <c r="C8" s="21"/>
      <c r="D8" s="21"/>
      <c r="E8" s="21"/>
      <c r="G8" s="25" cm="1">
        <f t="array" ref="G8">MoyenneParSemestre("Semestre 1")</f>
        <v>0</v>
      </c>
      <c r="H8" s="25" cm="1">
        <f t="array" ref="H8">MoyenneParSemestre("Semestre 2")</f>
        <v>0</v>
      </c>
      <c r="I8" s="25" cm="1">
        <f t="array" ref="I8">MoyenneParCompetence("Compétence 1 : Traiter des données")</f>
        <v>0</v>
      </c>
      <c r="J8" s="25" cm="1">
        <f t="array" ref="J8">MoyenneParCompetence("Compétence 2 : Analyser statistiquement")</f>
        <v>0</v>
      </c>
      <c r="K8" s="25" cm="1">
        <f t="array" ref="K8">MoyenneParCompetence("Compétence 3 : Valoriser une production")</f>
        <v>0</v>
      </c>
      <c r="L8" s="25" cm="1">
        <f t="array" ref="L8">MoyenneGlobale()</f>
        <v>0</v>
      </c>
      <c r="AH8" t="s">
        <v>54</v>
      </c>
      <c r="AI8">
        <f>feuil1!I8</f>
        <v>0</v>
      </c>
    </row>
    <row r="9" spans="1:35" x14ac:dyDescent="0.3">
      <c r="A9" s="21"/>
      <c r="B9" s="21"/>
      <c r="C9" s="21"/>
      <c r="D9" s="21"/>
      <c r="E9" s="21"/>
      <c r="AH9" t="s">
        <v>55</v>
      </c>
      <c r="AI9">
        <f>feuil1!J8</f>
        <v>0</v>
      </c>
    </row>
    <row r="10" spans="1:35" x14ac:dyDescent="0.3">
      <c r="A10" s="21"/>
      <c r="B10" s="21"/>
      <c r="C10" s="21"/>
      <c r="D10" s="21"/>
      <c r="E10" s="21"/>
      <c r="AH10" t="s">
        <v>56</v>
      </c>
      <c r="AI10">
        <f>feuil1!K8</f>
        <v>0</v>
      </c>
    </row>
    <row r="11" spans="1:35" x14ac:dyDescent="0.3">
      <c r="A11" s="21"/>
      <c r="B11" s="21"/>
      <c r="C11" s="21"/>
      <c r="D11" s="21"/>
      <c r="E11" s="21"/>
    </row>
    <row r="12" spans="1:35" ht="15.6" x14ac:dyDescent="0.3">
      <c r="A12" s="21"/>
      <c r="B12" s="21"/>
      <c r="C12" s="21"/>
      <c r="D12" s="21"/>
      <c r="E12" s="21"/>
      <c r="K12" s="24" t="s">
        <v>57</v>
      </c>
    </row>
    <row r="13" spans="1:35" x14ac:dyDescent="0.3">
      <c r="A13" s="21"/>
      <c r="B13" s="21"/>
      <c r="C13" s="21"/>
      <c r="D13" s="21"/>
      <c r="E13" s="21"/>
      <c r="K13" s="21" t="str" cm="1">
        <f t="array" ref="K13">DecisionJury(I8,J8, K8)</f>
        <v>Ajourné</v>
      </c>
    </row>
    <row r="14" spans="1:35" x14ac:dyDescent="0.3">
      <c r="A14" s="21"/>
      <c r="B14" s="21"/>
      <c r="C14" s="21"/>
      <c r="D14" s="21"/>
      <c r="E14" s="21"/>
    </row>
    <row r="15" spans="1:35" x14ac:dyDescent="0.3">
      <c r="A15" s="21"/>
      <c r="B15" s="21"/>
      <c r="C15" s="21"/>
      <c r="D15" s="21"/>
      <c r="E15" s="21"/>
    </row>
    <row r="16" spans="1:35" x14ac:dyDescent="0.3">
      <c r="A16" s="21"/>
      <c r="B16" s="21"/>
      <c r="C16" s="21"/>
      <c r="D16" s="21"/>
      <c r="E16" s="21"/>
    </row>
    <row r="17" spans="1:5" x14ac:dyDescent="0.3">
      <c r="A17" s="21"/>
      <c r="B17" s="21"/>
      <c r="C17" s="21"/>
      <c r="D17" s="21"/>
      <c r="E17" s="21"/>
    </row>
    <row r="18" spans="1:5" x14ac:dyDescent="0.3">
      <c r="A18" s="21"/>
      <c r="B18" s="21"/>
      <c r="C18" s="21"/>
      <c r="D18" s="21"/>
      <c r="E18" s="21"/>
    </row>
    <row r="19" spans="1:5" x14ac:dyDescent="0.3">
      <c r="A19" s="21"/>
      <c r="B19" s="21"/>
      <c r="C19" s="21"/>
      <c r="D19" s="21"/>
      <c r="E19" s="21"/>
    </row>
    <row r="20" spans="1:5" x14ac:dyDescent="0.3">
      <c r="A20" s="21"/>
      <c r="B20" s="21"/>
      <c r="C20" s="21"/>
      <c r="D20" s="21"/>
      <c r="E20" s="21"/>
    </row>
    <row r="21" spans="1:5" x14ac:dyDescent="0.3">
      <c r="A21" s="21"/>
      <c r="B21" s="21"/>
      <c r="C21" s="21"/>
      <c r="D21" s="21"/>
      <c r="E21" s="21"/>
    </row>
    <row r="22" spans="1:5" x14ac:dyDescent="0.3">
      <c r="A22" s="21"/>
      <c r="B22" s="21"/>
      <c r="C22" s="21"/>
      <c r="D22" s="21"/>
      <c r="E22" s="21"/>
    </row>
    <row r="23" spans="1:5" x14ac:dyDescent="0.3">
      <c r="A23" s="21"/>
      <c r="B23" s="21"/>
      <c r="C23" s="21"/>
      <c r="D23" s="21"/>
      <c r="E23" s="21"/>
    </row>
    <row r="24" spans="1:5" x14ac:dyDescent="0.3">
      <c r="A24" s="21"/>
      <c r="B24" s="21"/>
      <c r="C24" s="21"/>
      <c r="D24" s="21"/>
      <c r="E24" s="21"/>
    </row>
    <row r="25" spans="1:5" x14ac:dyDescent="0.3">
      <c r="A25" s="21"/>
      <c r="B25" s="21"/>
      <c r="C25" s="21"/>
      <c r="D25" s="21"/>
      <c r="E25" s="21"/>
    </row>
    <row r="26" spans="1:5" x14ac:dyDescent="0.3">
      <c r="A26" s="21"/>
      <c r="B26" s="21"/>
      <c r="C26" s="21"/>
      <c r="D26" s="21"/>
      <c r="E26" s="21"/>
    </row>
    <row r="27" spans="1:5" x14ac:dyDescent="0.3">
      <c r="A27" s="21"/>
      <c r="B27" s="21"/>
      <c r="C27" s="21"/>
      <c r="D27" s="21"/>
      <c r="E27" s="21"/>
    </row>
    <row r="28" spans="1:5" x14ac:dyDescent="0.3">
      <c r="A28" s="21"/>
      <c r="B28" s="21"/>
      <c r="C28" s="21"/>
      <c r="D28" s="21"/>
      <c r="E28" s="21"/>
    </row>
    <row r="29" spans="1:5" x14ac:dyDescent="0.3">
      <c r="A29" s="21"/>
      <c r="B29" s="21"/>
      <c r="C29" s="21"/>
      <c r="D29" s="21"/>
      <c r="E29" s="21"/>
    </row>
    <row r="30" spans="1:5" x14ac:dyDescent="0.3">
      <c r="A30" s="21"/>
      <c r="B30" s="21"/>
      <c r="C30" s="21"/>
      <c r="D30" s="21"/>
      <c r="E30" s="21"/>
    </row>
    <row r="31" spans="1:5" x14ac:dyDescent="0.3">
      <c r="A31" s="21"/>
      <c r="B31" s="21"/>
      <c r="C31" s="21"/>
      <c r="D31" s="21"/>
      <c r="E31" s="21"/>
    </row>
    <row r="32" spans="1:5" x14ac:dyDescent="0.3">
      <c r="A32" s="21"/>
      <c r="B32" s="21"/>
      <c r="C32" s="21"/>
      <c r="D32" s="21"/>
      <c r="E32" s="21"/>
    </row>
    <row r="33" spans="1:5" x14ac:dyDescent="0.3">
      <c r="A33" s="21"/>
      <c r="B33" s="21"/>
      <c r="C33" s="21"/>
      <c r="D33" s="21"/>
      <c r="E33" s="21"/>
    </row>
    <row r="34" spans="1:5" x14ac:dyDescent="0.3">
      <c r="A34" s="21"/>
      <c r="B34" s="21"/>
      <c r="C34" s="21"/>
      <c r="D34" s="21"/>
      <c r="E34" s="21"/>
    </row>
    <row r="35" spans="1:5" x14ac:dyDescent="0.3">
      <c r="A35" s="21"/>
      <c r="B35" s="21"/>
      <c r="C35" s="21"/>
      <c r="D35" s="21"/>
      <c r="E35" s="21"/>
    </row>
    <row r="36" spans="1:5" x14ac:dyDescent="0.3">
      <c r="A36" s="21"/>
      <c r="B36" s="21"/>
      <c r="C36" s="21"/>
      <c r="D36" s="21"/>
      <c r="E36" s="21"/>
    </row>
    <row r="37" spans="1:5" x14ac:dyDescent="0.3">
      <c r="A37" s="21"/>
      <c r="B37" s="21"/>
      <c r="C37" s="21"/>
      <c r="D37" s="21"/>
      <c r="E37" s="21"/>
    </row>
    <row r="38" spans="1:5" x14ac:dyDescent="0.3">
      <c r="A38" s="21"/>
      <c r="B38" s="21"/>
      <c r="C38" s="21"/>
      <c r="D38" s="21"/>
      <c r="E38" s="21"/>
    </row>
    <row r="39" spans="1:5" x14ac:dyDescent="0.3">
      <c r="A39" s="21"/>
      <c r="B39" s="21"/>
      <c r="C39" s="21"/>
      <c r="D39" s="21"/>
      <c r="E39" s="21"/>
    </row>
    <row r="40" spans="1:5" x14ac:dyDescent="0.3">
      <c r="A40" s="21"/>
      <c r="B40" s="21"/>
      <c r="C40" s="21"/>
      <c r="D40" s="21"/>
      <c r="E40" s="21"/>
    </row>
    <row r="41" spans="1:5" x14ac:dyDescent="0.3">
      <c r="A41" s="21"/>
      <c r="B41" s="21"/>
      <c r="C41" s="21"/>
      <c r="D41" s="21"/>
      <c r="E41" s="21"/>
    </row>
    <row r="42" spans="1:5" x14ac:dyDescent="0.3">
      <c r="A42" s="21"/>
      <c r="B42" s="21"/>
      <c r="C42" s="21"/>
      <c r="D42" s="21"/>
      <c r="E42" s="21"/>
    </row>
    <row r="43" spans="1:5" x14ac:dyDescent="0.3">
      <c r="A43" s="21"/>
      <c r="B43" s="21"/>
      <c r="C43" s="21"/>
      <c r="D43" s="21"/>
      <c r="E43" s="21"/>
    </row>
    <row r="44" spans="1:5" x14ac:dyDescent="0.3">
      <c r="A44" s="21"/>
      <c r="B44" s="21"/>
      <c r="C44" s="21"/>
      <c r="D44" s="21"/>
      <c r="E44" s="21"/>
    </row>
    <row r="45" spans="1:5" x14ac:dyDescent="0.3">
      <c r="A45" s="21"/>
      <c r="B45" s="21"/>
      <c r="C45" s="21"/>
      <c r="D45" s="21"/>
      <c r="E45" s="21"/>
    </row>
    <row r="46" spans="1:5" x14ac:dyDescent="0.3">
      <c r="A46" s="21"/>
      <c r="B46" s="21"/>
      <c r="C46" s="21"/>
      <c r="D46" s="21"/>
      <c r="E46" s="21"/>
    </row>
    <row r="47" spans="1:5" x14ac:dyDescent="0.3">
      <c r="A47" s="21"/>
      <c r="B47" s="21"/>
      <c r="C47" s="21"/>
      <c r="D47" s="21"/>
      <c r="E47" s="21"/>
    </row>
    <row r="48" spans="1:5" x14ac:dyDescent="0.3">
      <c r="A48" s="21"/>
      <c r="B48" s="21"/>
      <c r="C48" s="21"/>
      <c r="D48" s="21"/>
      <c r="E48" s="21"/>
    </row>
    <row r="49" spans="1:5" x14ac:dyDescent="0.3">
      <c r="A49" s="21"/>
      <c r="B49" s="21"/>
      <c r="C49" s="21"/>
      <c r="D49" s="21"/>
      <c r="E49" s="21"/>
    </row>
    <row r="50" spans="1:5" x14ac:dyDescent="0.3">
      <c r="A50" s="21"/>
      <c r="B50" s="21"/>
      <c r="C50" s="21"/>
      <c r="D50" s="21"/>
      <c r="E50" s="21"/>
    </row>
    <row r="51" spans="1:5" x14ac:dyDescent="0.3">
      <c r="A51" s="21"/>
      <c r="B51" s="21"/>
      <c r="C51" s="21"/>
      <c r="D51" s="21"/>
      <c r="E51" s="21"/>
    </row>
    <row r="52" spans="1:5" x14ac:dyDescent="0.3">
      <c r="A52" s="21"/>
      <c r="B52" s="21"/>
      <c r="C52" s="21"/>
      <c r="D52" s="21"/>
      <c r="E52" s="21"/>
    </row>
    <row r="53" spans="1:5" x14ac:dyDescent="0.3">
      <c r="A53" s="21"/>
      <c r="B53" s="21"/>
      <c r="C53" s="21"/>
      <c r="D53" s="21"/>
      <c r="E53" s="21"/>
    </row>
    <row r="54" spans="1:5" x14ac:dyDescent="0.3">
      <c r="A54" s="21"/>
      <c r="B54" s="21"/>
      <c r="C54" s="21"/>
      <c r="D54" s="21"/>
      <c r="E54" s="21"/>
    </row>
    <row r="55" spans="1:5" x14ac:dyDescent="0.3">
      <c r="A55" s="21"/>
      <c r="B55" s="21"/>
      <c r="C55" s="21"/>
      <c r="D55" s="21"/>
      <c r="E55" s="21"/>
    </row>
    <row r="56" spans="1:5" x14ac:dyDescent="0.3">
      <c r="A56" s="21"/>
      <c r="B56" s="21"/>
      <c r="C56" s="21"/>
      <c r="D56" s="21"/>
      <c r="E56" s="21"/>
    </row>
    <row r="57" spans="1:5" x14ac:dyDescent="0.3">
      <c r="A57" s="21"/>
      <c r="B57" s="21"/>
      <c r="C57" s="21"/>
      <c r="D57" s="21"/>
      <c r="E57" s="21"/>
    </row>
    <row r="58" spans="1:5" x14ac:dyDescent="0.3">
      <c r="A58" s="21"/>
      <c r="B58" s="21"/>
      <c r="C58" s="21"/>
      <c r="D58" s="21"/>
      <c r="E58" s="21"/>
    </row>
    <row r="59" spans="1:5" x14ac:dyDescent="0.3">
      <c r="A59" s="21"/>
      <c r="B59" s="21"/>
      <c r="C59" s="21"/>
      <c r="D59" s="21"/>
      <c r="E59" s="21"/>
    </row>
    <row r="60" spans="1:5" x14ac:dyDescent="0.3">
      <c r="A60" s="21"/>
      <c r="B60" s="21"/>
      <c r="C60" s="21"/>
      <c r="D60" s="21"/>
      <c r="E60" s="21"/>
    </row>
    <row r="61" spans="1:5" x14ac:dyDescent="0.3">
      <c r="A61" s="21"/>
      <c r="B61" s="21"/>
      <c r="C61" s="21"/>
      <c r="D61" s="21"/>
      <c r="E61" s="21"/>
    </row>
    <row r="62" spans="1:5" x14ac:dyDescent="0.3">
      <c r="A62" s="21"/>
      <c r="B62" s="21"/>
      <c r="C62" s="21"/>
      <c r="D62" s="21"/>
      <c r="E62" s="21"/>
    </row>
    <row r="63" spans="1:5" x14ac:dyDescent="0.3">
      <c r="A63" s="21"/>
      <c r="B63" s="21"/>
      <c r="C63" s="21"/>
      <c r="D63" s="21"/>
      <c r="E63" s="21"/>
    </row>
    <row r="64" spans="1:5" x14ac:dyDescent="0.3">
      <c r="A64" s="21"/>
      <c r="B64" s="21"/>
      <c r="C64" s="21"/>
      <c r="D64" s="21"/>
      <c r="E64" s="21"/>
    </row>
    <row r="65" spans="1:5" x14ac:dyDescent="0.3">
      <c r="A65" s="21"/>
      <c r="B65" s="21"/>
      <c r="C65" s="21"/>
      <c r="D65" s="21"/>
      <c r="E65" s="21"/>
    </row>
    <row r="66" spans="1:5" x14ac:dyDescent="0.3">
      <c r="A66" s="21"/>
      <c r="B66" s="21"/>
      <c r="C66" s="21"/>
      <c r="D66" s="21"/>
      <c r="E66" s="21"/>
    </row>
    <row r="67" spans="1:5" x14ac:dyDescent="0.3">
      <c r="A67" s="21"/>
      <c r="B67" s="21"/>
      <c r="C67" s="21"/>
      <c r="D67" s="21"/>
      <c r="E67" s="21"/>
    </row>
    <row r="68" spans="1:5" x14ac:dyDescent="0.3">
      <c r="A68" s="21"/>
      <c r="B68" s="21"/>
      <c r="C68" s="21"/>
      <c r="D68" s="21"/>
      <c r="E68" s="21"/>
    </row>
    <row r="69" spans="1:5" x14ac:dyDescent="0.3">
      <c r="A69" s="21"/>
      <c r="B69" s="21"/>
      <c r="C69" s="21"/>
      <c r="D69" s="21"/>
      <c r="E69" s="21"/>
    </row>
    <row r="70" spans="1:5" x14ac:dyDescent="0.3">
      <c r="A70" s="21"/>
      <c r="B70" s="21"/>
      <c r="C70" s="21"/>
      <c r="D70" s="21"/>
      <c r="E70" s="21"/>
    </row>
    <row r="71" spans="1:5" x14ac:dyDescent="0.3">
      <c r="A71" s="21"/>
      <c r="B71" s="21"/>
      <c r="C71" s="21"/>
      <c r="D71" s="21"/>
      <c r="E71" s="21"/>
    </row>
    <row r="72" spans="1:5" x14ac:dyDescent="0.3">
      <c r="A72" s="21"/>
      <c r="B72" s="21"/>
      <c r="C72" s="21"/>
      <c r="D72" s="21"/>
      <c r="E72" s="21"/>
    </row>
    <row r="73" spans="1:5" x14ac:dyDescent="0.3">
      <c r="A73" s="21"/>
      <c r="B73" s="21"/>
      <c r="C73" s="21"/>
      <c r="D73" s="21"/>
      <c r="E73" s="21"/>
    </row>
    <row r="74" spans="1:5" x14ac:dyDescent="0.3">
      <c r="A74" s="21"/>
      <c r="B74" s="21"/>
      <c r="C74" s="21"/>
      <c r="D74" s="21"/>
      <c r="E74" s="21"/>
    </row>
    <row r="75" spans="1:5" x14ac:dyDescent="0.3">
      <c r="A75" s="21"/>
      <c r="B75" s="21"/>
      <c r="C75" s="21"/>
      <c r="D75" s="21"/>
      <c r="E75" s="21"/>
    </row>
    <row r="76" spans="1:5" x14ac:dyDescent="0.3">
      <c r="A76" s="21"/>
      <c r="B76" s="21"/>
      <c r="C76" s="21"/>
      <c r="D76" s="21"/>
      <c r="E76" s="21"/>
    </row>
    <row r="77" spans="1:5" x14ac:dyDescent="0.3">
      <c r="A77" s="21"/>
      <c r="B77" s="21"/>
      <c r="C77" s="21"/>
      <c r="D77" s="21"/>
      <c r="E77" s="21"/>
    </row>
    <row r="78" spans="1:5" x14ac:dyDescent="0.3">
      <c r="A78" s="21"/>
      <c r="B78" s="21"/>
      <c r="C78" s="21"/>
      <c r="D78" s="21"/>
      <c r="E78" s="21"/>
    </row>
    <row r="79" spans="1:5" x14ac:dyDescent="0.3">
      <c r="A79" s="21"/>
      <c r="B79" s="21"/>
      <c r="C79" s="21"/>
      <c r="D79" s="21"/>
      <c r="E79" s="21"/>
    </row>
    <row r="80" spans="1:5" x14ac:dyDescent="0.3">
      <c r="A80" s="21"/>
      <c r="B80" s="21"/>
      <c r="C80" s="21"/>
      <c r="D80" s="21"/>
      <c r="E80" s="21"/>
    </row>
    <row r="81" spans="1:5" x14ac:dyDescent="0.3">
      <c r="A81" s="21"/>
      <c r="B81" s="21"/>
      <c r="C81" s="21"/>
      <c r="D81" s="21"/>
      <c r="E81" s="21"/>
    </row>
    <row r="82" spans="1:5" x14ac:dyDescent="0.3">
      <c r="A82" s="21"/>
      <c r="B82" s="21"/>
      <c r="C82" s="21"/>
      <c r="D82" s="21"/>
      <c r="E82" s="21"/>
    </row>
    <row r="83" spans="1:5" x14ac:dyDescent="0.3">
      <c r="A83" s="21"/>
      <c r="B83" s="21"/>
      <c r="C83" s="21"/>
      <c r="D83" s="21"/>
      <c r="E83" s="21"/>
    </row>
    <row r="84" spans="1:5" x14ac:dyDescent="0.3">
      <c r="A84" s="21"/>
      <c r="B84" s="21"/>
      <c r="C84" s="21"/>
      <c r="D84" s="21"/>
      <c r="E84" s="21"/>
    </row>
    <row r="85" spans="1:5" x14ac:dyDescent="0.3">
      <c r="A85" s="21"/>
      <c r="B85" s="21"/>
      <c r="C85" s="21"/>
      <c r="D85" s="21"/>
      <c r="E85" s="21"/>
    </row>
    <row r="86" spans="1:5" x14ac:dyDescent="0.3">
      <c r="A86" s="21"/>
      <c r="B86" s="21"/>
      <c r="C86" s="21"/>
      <c r="D86" s="21"/>
      <c r="E86" s="21"/>
    </row>
    <row r="87" spans="1:5" x14ac:dyDescent="0.3">
      <c r="A87" s="21"/>
      <c r="B87" s="21"/>
      <c r="C87" s="21"/>
      <c r="D87" s="21"/>
      <c r="E87" s="21"/>
    </row>
    <row r="88" spans="1:5" x14ac:dyDescent="0.3">
      <c r="A88" s="21"/>
      <c r="B88" s="21"/>
      <c r="C88" s="21"/>
      <c r="D88" s="21"/>
      <c r="E88" s="21"/>
    </row>
    <row r="89" spans="1:5" x14ac:dyDescent="0.3">
      <c r="A89" s="21"/>
      <c r="B89" s="21"/>
      <c r="C89" s="21"/>
      <c r="D89" s="21"/>
      <c r="E89" s="21"/>
    </row>
    <row r="90" spans="1:5" x14ac:dyDescent="0.3">
      <c r="A90" s="21"/>
      <c r="B90" s="21"/>
      <c r="C90" s="21"/>
      <c r="D90" s="21"/>
      <c r="E90" s="21"/>
    </row>
    <row r="91" spans="1:5" x14ac:dyDescent="0.3">
      <c r="A91" s="21"/>
      <c r="B91" s="21"/>
      <c r="C91" s="21"/>
      <c r="D91" s="21"/>
      <c r="E91" s="21"/>
    </row>
    <row r="92" spans="1:5" x14ac:dyDescent="0.3">
      <c r="A92" s="21"/>
      <c r="B92" s="21"/>
      <c r="C92" s="21"/>
      <c r="D92" s="21"/>
      <c r="E92" s="21"/>
    </row>
    <row r="93" spans="1:5" x14ac:dyDescent="0.3">
      <c r="A93" s="21"/>
      <c r="B93" s="21"/>
      <c r="C93" s="21"/>
      <c r="D93" s="21"/>
      <c r="E93" s="21"/>
    </row>
    <row r="94" spans="1:5" x14ac:dyDescent="0.3">
      <c r="A94" s="21"/>
      <c r="B94" s="21"/>
      <c r="C94" s="21"/>
      <c r="D94" s="21"/>
      <c r="E94" s="21"/>
    </row>
    <row r="95" spans="1:5" x14ac:dyDescent="0.3">
      <c r="A95" s="21"/>
      <c r="B95" s="21"/>
      <c r="C95" s="21"/>
      <c r="D95" s="21"/>
      <c r="E95" s="21"/>
    </row>
    <row r="96" spans="1:5" x14ac:dyDescent="0.3">
      <c r="A96" s="21"/>
      <c r="B96" s="21"/>
      <c r="C96" s="21"/>
      <c r="D96" s="21"/>
      <c r="E96" s="21"/>
    </row>
    <row r="97" spans="1:5" x14ac:dyDescent="0.3">
      <c r="A97" s="21"/>
      <c r="B97" s="21"/>
      <c r="C97" s="21"/>
      <c r="D97" s="21"/>
      <c r="E97" s="21"/>
    </row>
    <row r="98" spans="1:5" x14ac:dyDescent="0.3">
      <c r="A98" s="21"/>
      <c r="B98" s="21"/>
      <c r="C98" s="21"/>
      <c r="D98" s="21"/>
      <c r="E98" s="21"/>
    </row>
    <row r="99" spans="1:5" x14ac:dyDescent="0.3">
      <c r="A99" s="21"/>
      <c r="B99" s="21"/>
      <c r="C99" s="21"/>
      <c r="D99" s="21"/>
      <c r="E99" s="21"/>
    </row>
    <row r="100" spans="1:5" x14ac:dyDescent="0.3">
      <c r="A100" s="21"/>
      <c r="B100" s="21"/>
      <c r="C100" s="21"/>
      <c r="D100" s="21"/>
      <c r="E100" s="21"/>
    </row>
    <row r="101" spans="1:5" x14ac:dyDescent="0.3">
      <c r="A101" s="21"/>
      <c r="B101" s="21"/>
      <c r="C101" s="21"/>
      <c r="D101" s="21"/>
      <c r="E101" s="21"/>
    </row>
    <row r="102" spans="1:5" x14ac:dyDescent="0.3">
      <c r="A102" s="21"/>
      <c r="B102" s="21"/>
      <c r="C102" s="21"/>
      <c r="D102" s="21"/>
      <c r="E102" s="21"/>
    </row>
    <row r="103" spans="1:5" x14ac:dyDescent="0.3">
      <c r="A103" s="21"/>
      <c r="B103" s="21"/>
      <c r="C103" s="21"/>
      <c r="D103" s="21"/>
      <c r="E103" s="21"/>
    </row>
    <row r="104" spans="1:5" x14ac:dyDescent="0.3">
      <c r="A104" s="21"/>
      <c r="B104" s="21"/>
      <c r="C104" s="21"/>
      <c r="D104" s="21"/>
      <c r="E104" s="21"/>
    </row>
    <row r="105" spans="1:5" x14ac:dyDescent="0.3">
      <c r="A105" s="21"/>
      <c r="B105" s="21"/>
      <c r="C105" s="21"/>
      <c r="D105" s="21"/>
      <c r="E105" s="21"/>
    </row>
    <row r="106" spans="1:5" x14ac:dyDescent="0.3">
      <c r="A106" s="21"/>
      <c r="B106" s="21"/>
      <c r="C106" s="21"/>
      <c r="D106" s="21"/>
      <c r="E106" s="21"/>
    </row>
    <row r="107" spans="1:5" x14ac:dyDescent="0.3">
      <c r="A107" s="21"/>
      <c r="B107" s="21"/>
      <c r="C107" s="21"/>
      <c r="D107" s="21"/>
      <c r="E107" s="21"/>
    </row>
    <row r="108" spans="1:5" x14ac:dyDescent="0.3">
      <c r="A108" s="21"/>
      <c r="B108" s="21"/>
      <c r="C108" s="21"/>
      <c r="D108" s="21"/>
      <c r="E108" s="21"/>
    </row>
    <row r="109" spans="1:5" x14ac:dyDescent="0.3">
      <c r="A109" s="21"/>
      <c r="B109" s="21"/>
      <c r="C109" s="21"/>
      <c r="D109" s="21"/>
      <c r="E109" s="21"/>
    </row>
    <row r="110" spans="1:5" x14ac:dyDescent="0.3">
      <c r="A110" s="21"/>
      <c r="B110" s="21"/>
      <c r="C110" s="21"/>
      <c r="D110" s="21"/>
      <c r="E110" s="21"/>
    </row>
    <row r="111" spans="1:5" x14ac:dyDescent="0.3">
      <c r="A111" s="21"/>
      <c r="B111" s="21"/>
      <c r="C111" s="21"/>
      <c r="D111" s="21"/>
      <c r="E111" s="21"/>
    </row>
    <row r="112" spans="1:5" x14ac:dyDescent="0.3">
      <c r="A112" s="21"/>
      <c r="B112" s="21"/>
      <c r="C112" s="21"/>
      <c r="D112" s="21"/>
      <c r="E112" s="21"/>
    </row>
    <row r="113" spans="1:5" x14ac:dyDescent="0.3">
      <c r="A113" s="21"/>
      <c r="B113" s="21"/>
      <c r="C113" s="21"/>
      <c r="D113" s="21"/>
      <c r="E113" s="21"/>
    </row>
    <row r="114" spans="1:5" x14ac:dyDescent="0.3">
      <c r="A114" s="21"/>
      <c r="B114" s="21"/>
      <c r="C114" s="21"/>
      <c r="D114" s="21"/>
      <c r="E114" s="21"/>
    </row>
    <row r="115" spans="1:5" x14ac:dyDescent="0.3">
      <c r="A115" s="21"/>
      <c r="B115" s="21"/>
      <c r="C115" s="21"/>
      <c r="D115" s="21"/>
      <c r="E115" s="21"/>
    </row>
    <row r="116" spans="1:5" x14ac:dyDescent="0.3">
      <c r="A116" s="21"/>
      <c r="B116" s="21"/>
      <c r="C116" s="21"/>
      <c r="D116" s="21"/>
      <c r="E116" s="21"/>
    </row>
    <row r="117" spans="1:5" x14ac:dyDescent="0.3">
      <c r="A117" s="21"/>
      <c r="B117" s="21"/>
      <c r="C117" s="21"/>
      <c r="D117" s="21"/>
      <c r="E117" s="21"/>
    </row>
    <row r="118" spans="1:5" x14ac:dyDescent="0.3">
      <c r="A118" s="21"/>
      <c r="B118" s="21"/>
      <c r="C118" s="21"/>
      <c r="D118" s="21"/>
      <c r="E118" s="21"/>
    </row>
    <row r="119" spans="1:5" x14ac:dyDescent="0.3">
      <c r="A119" s="21"/>
      <c r="B119" s="21"/>
      <c r="C119" s="21"/>
      <c r="D119" s="21"/>
      <c r="E119" s="21"/>
    </row>
    <row r="120" spans="1:5" x14ac:dyDescent="0.3">
      <c r="A120" s="21"/>
      <c r="B120" s="21"/>
      <c r="C120" s="21"/>
      <c r="D120" s="21"/>
      <c r="E120" s="21"/>
    </row>
    <row r="121" spans="1:5" x14ac:dyDescent="0.3">
      <c r="A121" s="21"/>
      <c r="B121" s="21"/>
      <c r="C121" s="21"/>
      <c r="D121" s="21"/>
      <c r="E121" s="21"/>
    </row>
    <row r="122" spans="1:5" x14ac:dyDescent="0.3">
      <c r="A122" s="21"/>
      <c r="B122" s="21"/>
      <c r="C122" s="21"/>
      <c r="D122" s="21"/>
      <c r="E122" s="21"/>
    </row>
    <row r="123" spans="1:5" x14ac:dyDescent="0.3">
      <c r="A123" s="21"/>
      <c r="B123" s="21"/>
      <c r="C123" s="21"/>
      <c r="D123" s="21"/>
      <c r="E123" s="21"/>
    </row>
    <row r="124" spans="1:5" x14ac:dyDescent="0.3">
      <c r="A124" s="21"/>
      <c r="B124" s="21"/>
      <c r="C124" s="21"/>
      <c r="D124" s="21"/>
      <c r="E124" s="21"/>
    </row>
    <row r="125" spans="1:5" x14ac:dyDescent="0.3">
      <c r="A125" s="21"/>
      <c r="B125" s="21"/>
      <c r="C125" s="21"/>
      <c r="D125" s="21"/>
      <c r="E125" s="21"/>
    </row>
    <row r="126" spans="1:5" x14ac:dyDescent="0.3">
      <c r="A126" s="21"/>
      <c r="B126" s="21"/>
      <c r="C126" s="21"/>
      <c r="D126" s="21"/>
      <c r="E126" s="21"/>
    </row>
    <row r="127" spans="1:5" x14ac:dyDescent="0.3">
      <c r="A127" s="21"/>
      <c r="B127" s="21"/>
      <c r="C127" s="21"/>
      <c r="D127" s="21"/>
      <c r="E127" s="21"/>
    </row>
    <row r="128" spans="1:5" x14ac:dyDescent="0.3">
      <c r="A128" s="21"/>
      <c r="B128" s="21"/>
      <c r="C128" s="21"/>
      <c r="D128" s="21"/>
      <c r="E128" s="21"/>
    </row>
    <row r="129" spans="1:5" x14ac:dyDescent="0.3">
      <c r="A129" s="21"/>
      <c r="B129" s="21"/>
      <c r="C129" s="21"/>
      <c r="D129" s="21"/>
      <c r="E129" s="21"/>
    </row>
    <row r="130" spans="1:5" x14ac:dyDescent="0.3">
      <c r="A130" s="21"/>
      <c r="B130" s="21"/>
      <c r="C130" s="21"/>
      <c r="D130" s="21"/>
      <c r="E130" s="21"/>
    </row>
    <row r="131" spans="1:5" x14ac:dyDescent="0.3">
      <c r="A131" s="21"/>
      <c r="B131" s="21"/>
      <c r="C131" s="21"/>
      <c r="D131" s="21"/>
      <c r="E131" s="21"/>
    </row>
    <row r="132" spans="1:5" x14ac:dyDescent="0.3">
      <c r="A132" s="21"/>
      <c r="B132" s="21"/>
      <c r="C132" s="21"/>
      <c r="D132" s="21"/>
      <c r="E132" s="21"/>
    </row>
    <row r="133" spans="1:5" x14ac:dyDescent="0.3">
      <c r="A133" s="21"/>
      <c r="B133" s="21"/>
      <c r="C133" s="21"/>
      <c r="D133" s="21"/>
      <c r="E133" s="21"/>
    </row>
    <row r="134" spans="1:5" x14ac:dyDescent="0.3">
      <c r="A134" s="21"/>
      <c r="B134" s="21"/>
      <c r="C134" s="21"/>
      <c r="D134" s="21"/>
      <c r="E134" s="21"/>
    </row>
    <row r="135" spans="1:5" x14ac:dyDescent="0.3">
      <c r="A135" s="21"/>
      <c r="B135" s="21"/>
      <c r="C135" s="21"/>
      <c r="D135" s="21"/>
      <c r="E135" s="21"/>
    </row>
    <row r="136" spans="1:5" x14ac:dyDescent="0.3">
      <c r="A136" s="21"/>
      <c r="B136" s="21"/>
      <c r="C136" s="21"/>
      <c r="D136" s="21"/>
      <c r="E136" s="21"/>
    </row>
    <row r="137" spans="1:5" x14ac:dyDescent="0.3">
      <c r="A137" s="21"/>
      <c r="B137" s="21"/>
      <c r="C137" s="21"/>
      <c r="D137" s="21"/>
      <c r="E137" s="21"/>
    </row>
    <row r="138" spans="1:5" x14ac:dyDescent="0.3">
      <c r="A138" s="21"/>
      <c r="B138" s="21"/>
      <c r="C138" s="21"/>
      <c r="D138" s="21"/>
      <c r="E138" s="21"/>
    </row>
    <row r="139" spans="1:5" x14ac:dyDescent="0.3">
      <c r="A139" s="21"/>
      <c r="B139" s="21"/>
      <c r="C139" s="21"/>
      <c r="D139" s="21"/>
      <c r="E139" s="21"/>
    </row>
    <row r="140" spans="1:5" x14ac:dyDescent="0.3">
      <c r="A140" s="21"/>
      <c r="B140" s="21"/>
      <c r="C140" s="21"/>
      <c r="D140" s="21"/>
      <c r="E140" s="21"/>
    </row>
    <row r="141" spans="1:5" x14ac:dyDescent="0.3">
      <c r="A141" s="21"/>
      <c r="B141" s="21"/>
      <c r="C141" s="21"/>
      <c r="D141" s="21"/>
      <c r="E141" s="21"/>
    </row>
    <row r="142" spans="1:5" x14ac:dyDescent="0.3">
      <c r="A142" s="21"/>
      <c r="B142" s="21"/>
      <c r="C142" s="21"/>
      <c r="D142" s="21"/>
      <c r="E142" s="21"/>
    </row>
    <row r="143" spans="1:5" x14ac:dyDescent="0.3">
      <c r="A143" s="21"/>
      <c r="B143" s="21"/>
      <c r="C143" s="21"/>
      <c r="D143" s="21"/>
      <c r="E143" s="21"/>
    </row>
    <row r="144" spans="1:5" x14ac:dyDescent="0.3">
      <c r="A144" s="21"/>
      <c r="B144" s="21"/>
      <c r="C144" s="21"/>
      <c r="D144" s="21"/>
      <c r="E144" s="21"/>
    </row>
    <row r="145" spans="1:5" x14ac:dyDescent="0.3">
      <c r="A145" s="21"/>
      <c r="B145" s="21"/>
      <c r="C145" s="21"/>
      <c r="D145" s="21"/>
      <c r="E145" s="21"/>
    </row>
    <row r="146" spans="1:5" x14ac:dyDescent="0.3">
      <c r="A146" s="21"/>
      <c r="B146" s="21"/>
      <c r="C146" s="21"/>
      <c r="D146" s="21"/>
      <c r="E146" s="21"/>
    </row>
    <row r="147" spans="1:5" x14ac:dyDescent="0.3">
      <c r="A147" s="21"/>
      <c r="B147" s="21"/>
      <c r="C147" s="21"/>
      <c r="D147" s="21"/>
      <c r="E147" s="21"/>
    </row>
    <row r="148" spans="1:5" x14ac:dyDescent="0.3">
      <c r="A148" s="21"/>
      <c r="B148" s="21"/>
      <c r="C148" s="21"/>
      <c r="D148" s="21"/>
      <c r="E148" s="21"/>
    </row>
    <row r="149" spans="1:5" x14ac:dyDescent="0.3">
      <c r="A149" s="21"/>
      <c r="B149" s="21"/>
      <c r="C149" s="21"/>
      <c r="D149" s="21"/>
      <c r="E149" s="21"/>
    </row>
    <row r="150" spans="1:5" x14ac:dyDescent="0.3">
      <c r="A150" s="21"/>
      <c r="B150" s="21"/>
      <c r="C150" s="21"/>
      <c r="D150" s="21"/>
      <c r="E150" s="21"/>
    </row>
    <row r="151" spans="1:5" x14ac:dyDescent="0.3">
      <c r="A151" s="21"/>
      <c r="B151" s="21"/>
      <c r="C151" s="21"/>
      <c r="D151" s="21"/>
      <c r="E151" s="21"/>
    </row>
    <row r="152" spans="1:5" x14ac:dyDescent="0.3">
      <c r="A152" s="21"/>
      <c r="B152" s="21"/>
      <c r="C152" s="21"/>
      <c r="D152" s="21"/>
      <c r="E152" s="21"/>
    </row>
    <row r="153" spans="1:5" x14ac:dyDescent="0.3">
      <c r="A153" s="21"/>
      <c r="B153" s="21"/>
      <c r="C153" s="21"/>
      <c r="D153" s="21"/>
      <c r="E153" s="21"/>
    </row>
    <row r="154" spans="1:5" x14ac:dyDescent="0.3">
      <c r="A154" s="21"/>
      <c r="B154" s="21"/>
      <c r="C154" s="21"/>
      <c r="D154" s="21"/>
      <c r="E154" s="21"/>
    </row>
    <row r="155" spans="1:5" x14ac:dyDescent="0.3">
      <c r="A155" s="21"/>
      <c r="B155" s="21"/>
      <c r="C155" s="21"/>
      <c r="D155" s="21"/>
      <c r="E155" s="21"/>
    </row>
    <row r="156" spans="1:5" x14ac:dyDescent="0.3">
      <c r="A156" s="21"/>
      <c r="B156" s="21"/>
      <c r="C156" s="21"/>
      <c r="D156" s="21"/>
      <c r="E156" s="21"/>
    </row>
    <row r="157" spans="1:5" x14ac:dyDescent="0.3">
      <c r="A157" s="21"/>
      <c r="B157" s="21"/>
      <c r="C157" s="21"/>
      <c r="D157" s="21"/>
      <c r="E157" s="21"/>
    </row>
    <row r="158" spans="1:5" x14ac:dyDescent="0.3">
      <c r="A158" s="21"/>
      <c r="B158" s="21"/>
      <c r="C158" s="21"/>
      <c r="D158" s="21"/>
      <c r="E158" s="21"/>
    </row>
    <row r="159" spans="1:5" x14ac:dyDescent="0.3">
      <c r="A159" s="21"/>
      <c r="B159" s="21"/>
      <c r="C159" s="21"/>
      <c r="D159" s="21"/>
      <c r="E159" s="21"/>
    </row>
    <row r="160" spans="1:5" x14ac:dyDescent="0.3">
      <c r="A160" s="21"/>
      <c r="B160" s="21"/>
      <c r="C160" s="21"/>
      <c r="D160" s="21"/>
      <c r="E160" s="21"/>
    </row>
    <row r="161" spans="1:5" x14ac:dyDescent="0.3">
      <c r="A161" s="21"/>
      <c r="B161" s="21"/>
      <c r="C161" s="21"/>
      <c r="D161" s="21"/>
      <c r="E161" s="21"/>
    </row>
    <row r="162" spans="1:5" x14ac:dyDescent="0.3">
      <c r="A162" s="21"/>
      <c r="B162" s="21"/>
      <c r="C162" s="21"/>
      <c r="D162" s="21"/>
      <c r="E162" s="21"/>
    </row>
    <row r="163" spans="1:5" x14ac:dyDescent="0.3">
      <c r="A163" s="21"/>
      <c r="B163" s="21"/>
      <c r="C163" s="21"/>
      <c r="D163" s="21"/>
      <c r="E163" s="21"/>
    </row>
    <row r="164" spans="1:5" x14ac:dyDescent="0.3">
      <c r="A164" s="21"/>
      <c r="B164" s="21"/>
      <c r="C164" s="21"/>
      <c r="D164" s="21"/>
      <c r="E164" s="21"/>
    </row>
    <row r="165" spans="1:5" x14ac:dyDescent="0.3">
      <c r="A165" s="21"/>
      <c r="B165" s="21"/>
      <c r="C165" s="21"/>
      <c r="D165" s="21"/>
      <c r="E165" s="21"/>
    </row>
    <row r="166" spans="1:5" x14ac:dyDescent="0.3">
      <c r="A166" s="21"/>
      <c r="B166" s="21"/>
      <c r="C166" s="21"/>
      <c r="D166" s="21"/>
      <c r="E166" s="21"/>
    </row>
    <row r="167" spans="1:5" x14ac:dyDescent="0.3">
      <c r="A167" s="21"/>
      <c r="B167" s="21"/>
      <c r="C167" s="21"/>
      <c r="D167" s="21"/>
      <c r="E167" s="21"/>
    </row>
    <row r="168" spans="1:5" x14ac:dyDescent="0.3">
      <c r="A168" s="21"/>
      <c r="B168" s="21"/>
      <c r="C168" s="21"/>
      <c r="D168" s="21"/>
      <c r="E168" s="21"/>
    </row>
    <row r="169" spans="1:5" x14ac:dyDescent="0.3">
      <c r="A169" s="21"/>
      <c r="B169" s="21"/>
      <c r="C169" s="21"/>
      <c r="D169" s="21"/>
      <c r="E169" s="21"/>
    </row>
    <row r="170" spans="1:5" x14ac:dyDescent="0.3">
      <c r="A170" s="21"/>
      <c r="B170" s="21"/>
      <c r="C170" s="21"/>
      <c r="D170" s="21"/>
      <c r="E170" s="21"/>
    </row>
    <row r="171" spans="1:5" x14ac:dyDescent="0.3">
      <c r="A171" s="21"/>
      <c r="B171" s="21"/>
      <c r="C171" s="21"/>
      <c r="D171" s="21"/>
      <c r="E171" s="21"/>
    </row>
    <row r="172" spans="1:5" x14ac:dyDescent="0.3">
      <c r="A172" s="21"/>
      <c r="B172" s="21"/>
      <c r="C172" s="21"/>
      <c r="D172" s="21"/>
      <c r="E172" s="21"/>
    </row>
    <row r="173" spans="1:5" x14ac:dyDescent="0.3">
      <c r="A173" s="21"/>
      <c r="B173" s="21"/>
      <c r="C173" s="21"/>
      <c r="D173" s="21"/>
      <c r="E173" s="21"/>
    </row>
    <row r="174" spans="1:5" x14ac:dyDescent="0.3">
      <c r="A174" s="21"/>
      <c r="B174" s="21"/>
      <c r="C174" s="21"/>
      <c r="D174" s="21"/>
      <c r="E174" s="21"/>
    </row>
    <row r="175" spans="1:5" x14ac:dyDescent="0.3">
      <c r="A175" s="21"/>
      <c r="B175" s="21"/>
      <c r="C175" s="21"/>
      <c r="D175" s="21"/>
      <c r="E175" s="21"/>
    </row>
    <row r="176" spans="1:5" x14ac:dyDescent="0.3">
      <c r="A176" s="21"/>
      <c r="B176" s="21"/>
      <c r="C176" s="21"/>
      <c r="D176" s="21"/>
      <c r="E176" s="21"/>
    </row>
    <row r="177" spans="1:5" x14ac:dyDescent="0.3">
      <c r="A177" s="21"/>
      <c r="B177" s="21"/>
      <c r="C177" s="21"/>
      <c r="D177" s="21"/>
      <c r="E177" s="21"/>
    </row>
    <row r="178" spans="1:5" x14ac:dyDescent="0.3">
      <c r="A178" s="21"/>
      <c r="B178" s="21"/>
      <c r="C178" s="21"/>
      <c r="D178" s="21"/>
      <c r="E178" s="21"/>
    </row>
    <row r="179" spans="1:5" x14ac:dyDescent="0.3">
      <c r="A179" s="21"/>
      <c r="B179" s="21"/>
      <c r="C179" s="21"/>
      <c r="D179" s="21"/>
      <c r="E179" s="21"/>
    </row>
    <row r="180" spans="1:5" x14ac:dyDescent="0.3">
      <c r="A180" s="21"/>
      <c r="B180" s="21"/>
      <c r="C180" s="21"/>
      <c r="D180" s="21"/>
      <c r="E180" s="21"/>
    </row>
    <row r="181" spans="1:5" x14ac:dyDescent="0.3">
      <c r="A181" s="21"/>
      <c r="B181" s="21"/>
      <c r="C181" s="21"/>
      <c r="D181" s="21"/>
      <c r="E181" s="21"/>
    </row>
    <row r="182" spans="1:5" x14ac:dyDescent="0.3">
      <c r="A182" s="21"/>
      <c r="B182" s="21"/>
      <c r="C182" s="21"/>
      <c r="D182" s="21"/>
      <c r="E182" s="21"/>
    </row>
    <row r="183" spans="1:5" x14ac:dyDescent="0.3">
      <c r="A183" s="21"/>
      <c r="B183" s="21"/>
      <c r="C183" s="21"/>
      <c r="D183" s="21"/>
      <c r="E183" s="21"/>
    </row>
    <row r="184" spans="1:5" x14ac:dyDescent="0.3">
      <c r="A184" s="21"/>
      <c r="B184" s="21"/>
      <c r="C184" s="21"/>
      <c r="D184" s="21"/>
      <c r="E184" s="21"/>
    </row>
    <row r="185" spans="1:5" x14ac:dyDescent="0.3">
      <c r="A185" s="21"/>
      <c r="B185" s="21"/>
      <c r="C185" s="21"/>
      <c r="D185" s="21"/>
      <c r="E185" s="21"/>
    </row>
    <row r="186" spans="1:5" x14ac:dyDescent="0.3">
      <c r="A186" s="21"/>
      <c r="B186" s="21"/>
      <c r="C186" s="21"/>
      <c r="D186" s="21"/>
      <c r="E186" s="21"/>
    </row>
    <row r="187" spans="1:5" x14ac:dyDescent="0.3">
      <c r="A187" s="21"/>
      <c r="B187" s="21"/>
      <c r="C187" s="21"/>
      <c r="D187" s="21"/>
      <c r="E187" s="21"/>
    </row>
    <row r="188" spans="1:5" x14ac:dyDescent="0.3">
      <c r="A188" s="21"/>
      <c r="B188" s="21"/>
      <c r="C188" s="21"/>
      <c r="D188" s="21"/>
      <c r="E188" s="21"/>
    </row>
    <row r="189" spans="1:5" x14ac:dyDescent="0.3">
      <c r="A189" s="21"/>
      <c r="B189" s="21"/>
      <c r="C189" s="21"/>
      <c r="D189" s="21"/>
      <c r="E189" s="21"/>
    </row>
    <row r="190" spans="1:5" x14ac:dyDescent="0.3">
      <c r="A190" s="21"/>
      <c r="B190" s="21"/>
      <c r="C190" s="21"/>
      <c r="D190" s="21"/>
      <c r="E190" s="21"/>
    </row>
    <row r="191" spans="1:5" x14ac:dyDescent="0.3">
      <c r="A191" s="21"/>
      <c r="B191" s="21"/>
      <c r="C191" s="21"/>
      <c r="D191" s="21"/>
      <c r="E191" s="21"/>
    </row>
    <row r="192" spans="1:5" x14ac:dyDescent="0.3">
      <c r="A192" s="21"/>
      <c r="B192" s="21"/>
      <c r="C192" s="21"/>
      <c r="D192" s="21"/>
      <c r="E192" s="21"/>
    </row>
    <row r="193" spans="1:5" x14ac:dyDescent="0.3">
      <c r="A193" s="21"/>
      <c r="B193" s="21"/>
      <c r="C193" s="21"/>
      <c r="D193" s="21"/>
      <c r="E193" s="21"/>
    </row>
    <row r="194" spans="1:5" x14ac:dyDescent="0.3">
      <c r="A194" s="21"/>
      <c r="B194" s="21"/>
      <c r="C194" s="21"/>
      <c r="D194" s="21"/>
      <c r="E194" s="21"/>
    </row>
    <row r="195" spans="1:5" x14ac:dyDescent="0.3">
      <c r="A195" s="21"/>
      <c r="B195" s="21"/>
      <c r="C195" s="21"/>
      <c r="D195" s="21"/>
      <c r="E195" s="21"/>
    </row>
    <row r="196" spans="1:5" x14ac:dyDescent="0.3">
      <c r="A196" s="21"/>
      <c r="B196" s="21"/>
      <c r="C196" s="21"/>
      <c r="D196" s="21"/>
      <c r="E196" s="21"/>
    </row>
    <row r="197" spans="1:5" x14ac:dyDescent="0.3">
      <c r="A197" s="21"/>
      <c r="B197" s="21"/>
      <c r="C197" s="21"/>
      <c r="D197" s="21"/>
      <c r="E197" s="21"/>
    </row>
    <row r="198" spans="1:5" x14ac:dyDescent="0.3">
      <c r="A198" s="21"/>
      <c r="B198" s="21"/>
      <c r="C198" s="21"/>
      <c r="D198" s="21"/>
      <c r="E198" s="21"/>
    </row>
    <row r="199" spans="1:5" x14ac:dyDescent="0.3">
      <c r="A199" s="21"/>
      <c r="B199" s="21"/>
      <c r="C199" s="21"/>
      <c r="D199" s="21"/>
    </row>
    <row r="200" spans="1:5" x14ac:dyDescent="0.3">
      <c r="A200" s="21"/>
      <c r="B200" s="21"/>
      <c r="C200" s="21"/>
      <c r="D200" s="21"/>
    </row>
    <row r="201" spans="1:5" x14ac:dyDescent="0.3">
      <c r="A201" s="21"/>
      <c r="B201" s="21"/>
      <c r="C201" s="21"/>
      <c r="D201" s="21"/>
    </row>
    <row r="202" spans="1:5" x14ac:dyDescent="0.3">
      <c r="A202" s="21"/>
      <c r="B202" s="21"/>
      <c r="C202" s="21"/>
      <c r="D202" s="21"/>
    </row>
  </sheetData>
  <conditionalFormatting sqref="K13">
    <cfRule type="cellIs" dxfId="1" priority="1" stopIfTrue="1" operator="equal">
      <formula>"Admis"</formula>
    </cfRule>
    <cfRule type="cellIs" dxfId="0" priority="2" stopIfTrue="1" operator="equal">
      <formula>"Ajourné"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2.Bouton1_Cliquer">
                <anchor moveWithCells="1" sizeWithCells="1">
                  <from>
                    <xdr:col>6</xdr:col>
                    <xdr:colOff>0</xdr:colOff>
                    <xdr:row>10</xdr:row>
                    <xdr:rowOff>182880</xdr:rowOff>
                  </from>
                  <to>
                    <xdr:col>8</xdr:col>
                    <xdr:colOff>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Macro1">
                <anchor moveWithCells="1" sizeWithCells="1">
                  <from>
                    <xdr:col>6</xdr:col>
                    <xdr:colOff>7620</xdr:colOff>
                    <xdr:row>17</xdr:row>
                    <xdr:rowOff>175260</xdr:rowOff>
                  </from>
                  <to>
                    <xdr:col>7</xdr:col>
                    <xdr:colOff>1539240</xdr:colOff>
                    <xdr:row>19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8371-A30E-4712-B182-DF08EBE27B8D}">
  <sheetPr codeName="Feuil3"/>
  <dimension ref="A1"/>
  <sheetViews>
    <sheetView tabSelected="1" topLeftCell="A4" workbookViewId="0">
      <selection activeCell="M36" sqref="M36"/>
    </sheetView>
  </sheetViews>
  <sheetFormatPr baseColWidth="10" defaultColWidth="11.44140625" defaultRowHeight="14.4" x14ac:dyDescent="0.3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inserer">
          <controlPr defaultSize="0" autoLine="0" r:id="rId5">
            <anchor moveWithCells="1">
              <from>
                <xdr:col>9</xdr:col>
                <xdr:colOff>571500</xdr:colOff>
                <xdr:row>18</xdr:row>
                <xdr:rowOff>99060</xdr:rowOff>
              </from>
              <to>
                <xdr:col>12</xdr:col>
                <xdr:colOff>632460</xdr:colOff>
                <xdr:row>23</xdr:row>
                <xdr:rowOff>0</xdr:rowOff>
              </to>
            </anchor>
          </controlPr>
        </control>
      </mc:Choice>
      <mc:Fallback>
        <control shapeId="2051" r:id="rId4" name="inserer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b1ed24f2-a78f-4e52-8aa3-2bfee2962d64"/>
    <ds:schemaRef ds:uri="976320d1-acf9-470b-91fd-984afe3f64f8"/>
    <ds:schemaRef ds:uri="http://www.w3.org/XML/1998/namespace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Coef</vt:lpstr>
      <vt:lpstr>Feuil2</vt:lpstr>
      <vt:lpstr>feuil1</vt:lpstr>
      <vt:lpstr>menu</vt:lpstr>
      <vt:lpstr>MoyenneCompetence1</vt:lpstr>
      <vt:lpstr>MoyenneCompetence2</vt:lpstr>
      <vt:lpstr>MoyenneCompetence3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Ely Mouthon</cp:lastModifiedBy>
  <cp:revision/>
  <dcterms:created xsi:type="dcterms:W3CDTF">2021-04-11T08:18:39Z</dcterms:created>
  <dcterms:modified xsi:type="dcterms:W3CDTF">2025-01-05T16:49:52Z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